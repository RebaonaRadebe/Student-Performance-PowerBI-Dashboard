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ba\OneDrive - Tshwane University of Technology\Desktop\New folder\"/>
    </mc:Choice>
  </mc:AlternateContent>
  <bookViews>
    <workbookView xWindow="0" yWindow="0" windowWidth="20490" windowHeight="8940"/>
  </bookViews>
  <sheets>
    <sheet name="Student_marks" sheetId="1" r:id="rId1"/>
    <sheet name="Modules" sheetId="2" r:id="rId2"/>
  </sheets>
  <calcPr calcId="162913"/>
</workbook>
</file>

<file path=xl/calcChain.xml><?xml version="1.0" encoding="utf-8"?>
<calcChain xmlns="http://schemas.openxmlformats.org/spreadsheetml/2006/main">
  <c r="I2" i="1" l="1"/>
  <c r="J2" i="1"/>
  <c r="K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N13" i="1" l="1"/>
  <c r="N11" i="1"/>
  <c r="N12" i="1"/>
</calcChain>
</file>

<file path=xl/sharedStrings.xml><?xml version="1.0" encoding="utf-8"?>
<sst xmlns="http://schemas.openxmlformats.org/spreadsheetml/2006/main" count="144" uniqueCount="84">
  <si>
    <t>StudentID</t>
  </si>
  <si>
    <t>StudentName</t>
  </si>
  <si>
    <t>Module</t>
  </si>
  <si>
    <t>Gender</t>
  </si>
  <si>
    <t>Attendance</t>
  </si>
  <si>
    <t>TestMark</t>
  </si>
  <si>
    <t>AssignmentMark</t>
  </si>
  <si>
    <t>FinalMark</t>
  </si>
  <si>
    <t>S001</t>
  </si>
  <si>
    <t>Alice Nkosi</t>
  </si>
  <si>
    <t>Database Systems</t>
  </si>
  <si>
    <t>Female</t>
  </si>
  <si>
    <t>S002</t>
  </si>
  <si>
    <t>Brian Molefe</t>
  </si>
  <si>
    <t>Male</t>
  </si>
  <si>
    <t>S003</t>
  </si>
  <si>
    <t>Cindy Mokoena</t>
  </si>
  <si>
    <t>S004</t>
  </si>
  <si>
    <t>David Khumalo</t>
  </si>
  <si>
    <t>S005</t>
  </si>
  <si>
    <t>Eric Ndlovu</t>
  </si>
  <si>
    <t>S006</t>
  </si>
  <si>
    <t>Faith Dlamini</t>
  </si>
  <si>
    <t>S007</t>
  </si>
  <si>
    <t>Gift Maseko</t>
  </si>
  <si>
    <t>S008</t>
  </si>
  <si>
    <t>Hannah Sithole</t>
  </si>
  <si>
    <t>S009</t>
  </si>
  <si>
    <t>Ian Mabaso</t>
  </si>
  <si>
    <t>Internet Programming</t>
  </si>
  <si>
    <t>S010</t>
  </si>
  <si>
    <t>Jessica Mthembu</t>
  </si>
  <si>
    <t>S011</t>
  </si>
  <si>
    <t>Kabelo Radebe</t>
  </si>
  <si>
    <t>S012</t>
  </si>
  <si>
    <t>Lerato Ncube</t>
  </si>
  <si>
    <t>S013</t>
  </si>
  <si>
    <t>Michael Zulu</t>
  </si>
  <si>
    <t>S014</t>
  </si>
  <si>
    <t>Nomsa Mokoena</t>
  </si>
  <si>
    <t>S015</t>
  </si>
  <si>
    <t>Oscar Mthethwa</t>
  </si>
  <si>
    <t>S016</t>
  </si>
  <si>
    <t>Precious Ndlovu</t>
  </si>
  <si>
    <t>S017</t>
  </si>
  <si>
    <t>Quinton Mokoena</t>
  </si>
  <si>
    <t>Mobile Computing</t>
  </si>
  <si>
    <t>S018</t>
  </si>
  <si>
    <t>Rorisang Nkosi</t>
  </si>
  <si>
    <t>S019</t>
  </si>
  <si>
    <t>Sipho Dlamini</t>
  </si>
  <si>
    <t>S020</t>
  </si>
  <si>
    <t>Thandi Molefe</t>
  </si>
  <si>
    <t>S021</t>
  </si>
  <si>
    <t>Uyiso Khumalo</t>
  </si>
  <si>
    <t>S022</t>
  </si>
  <si>
    <t>Valerie Ncube</t>
  </si>
  <si>
    <t>S023</t>
  </si>
  <si>
    <t>Wandile Maseko</t>
  </si>
  <si>
    <t>S024</t>
  </si>
  <si>
    <t>Xolani Sithole</t>
  </si>
  <si>
    <t>S025</t>
  </si>
  <si>
    <t>Yolanda Zulu</t>
  </si>
  <si>
    <t>Data Analytics</t>
  </si>
  <si>
    <t>S026</t>
  </si>
  <si>
    <t>Zanele Dlamini</t>
  </si>
  <si>
    <t>S027</t>
  </si>
  <si>
    <t>Ayanda Khosa</t>
  </si>
  <si>
    <t>S028</t>
  </si>
  <si>
    <t>Bongani Nkomo</t>
  </si>
  <si>
    <t>S029</t>
  </si>
  <si>
    <t>Chuma Radebe</t>
  </si>
  <si>
    <t>S030</t>
  </si>
  <si>
    <t>Dineo Molefe</t>
  </si>
  <si>
    <t>Status</t>
  </si>
  <si>
    <t>Performance</t>
  </si>
  <si>
    <t>Count Excellent</t>
  </si>
  <si>
    <t>Count Pass</t>
  </si>
  <si>
    <t>Count Risk</t>
  </si>
  <si>
    <t>Lecturer</t>
  </si>
  <si>
    <t>Mr Naidoo</t>
  </si>
  <si>
    <t>Mrs Smith</t>
  </si>
  <si>
    <t>Mr Adams</t>
  </si>
  <si>
    <t>Ms Dlamini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</si>
</sst>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NumberFormat="1" applyFont="1" applyFill="1" applyBorder="1"/>
    <xf numFmtId="0" fontId="0" fillId="0" borderId="10" xfId="0" applyNumberFormat="1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35" totalsRowCount="1">
  <autoFilter ref="A1:K34"/>
  <sortState ref="A2:J31">
    <sortCondition descending="1" ref="H1:H35"/>
  </sortState>
  <tableColumns count="11">
    <tableColumn id="1" name="StudentID"/>
    <tableColumn id="2" name="StudentName"/>
    <tableColumn id="3" name="Module"/>
    <tableColumn id="4" name="Gender"/>
    <tableColumn id="5" name="Attendance"/>
    <tableColumn id="6" name="TestMark"/>
    <tableColumn id="7" name="AssignmentMark"/>
    <tableColumn id="8" name="FinalMark"/>
    <tableColumn id="9" name="Status" dataDxfId="2">
      <calculatedColumnFormula>IF(H2&gt;=50, "Pass","Fail")</calculatedColumnFormula>
    </tableColumn>
    <tableColumn id="10" name="Performance" dataDxfId="1">
      <calculatedColumnFormula>IF(H2&gt;=75,"Excellent",IF(H2&gt;=50,"Pass","At Risk"))</calculatedColumnFormula>
    </tableColumn>
    <tableColumn id="11" name="Lecturer" dataDxfId="0">
      <calculatedColumnFormula>VLOOKUP(C2,Modules!A:B, 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A11" workbookViewId="0">
      <selection activeCell="A32" sqref="A32:K35"/>
    </sheetView>
  </sheetViews>
  <sheetFormatPr defaultRowHeight="15" x14ac:dyDescent="0.25"/>
  <cols>
    <col min="1" max="1" width="12.5703125" customWidth="1"/>
    <col min="2" max="2" width="19.85546875" customWidth="1"/>
    <col min="3" max="3" width="23.5703125" customWidth="1"/>
    <col min="4" max="4" width="14.7109375" customWidth="1"/>
    <col min="5" max="5" width="13.42578125" customWidth="1"/>
    <col min="6" max="6" width="16.85546875" customWidth="1"/>
    <col min="7" max="7" width="20.140625" customWidth="1"/>
    <col min="8" max="8" width="17" customWidth="1"/>
    <col min="9" max="9" width="15.140625" customWidth="1"/>
    <col min="10" max="10" width="20" customWidth="1"/>
    <col min="11" max="11" width="15" customWidth="1"/>
    <col min="13" max="13" width="9.140625" customWidth="1"/>
    <col min="15" max="15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</v>
      </c>
      <c r="J1" t="s">
        <v>75</v>
      </c>
      <c r="K1" t="s">
        <v>79</v>
      </c>
    </row>
    <row r="2" spans="1:14" x14ac:dyDescent="0.25">
      <c r="A2" t="s">
        <v>42</v>
      </c>
      <c r="B2" t="s">
        <v>43</v>
      </c>
      <c r="C2" t="s">
        <v>29</v>
      </c>
      <c r="D2" t="s">
        <v>11</v>
      </c>
      <c r="E2">
        <v>98</v>
      </c>
      <c r="F2">
        <v>95</v>
      </c>
      <c r="G2">
        <v>94</v>
      </c>
      <c r="H2">
        <v>95</v>
      </c>
      <c r="I2" t="str">
        <f t="shared" ref="I2:I31" si="0">IF(H2&gt;=50, "Pass","Fail")</f>
        <v>Pass</v>
      </c>
      <c r="J2" t="str">
        <f t="shared" ref="J2:J31" si="1">IF(H2&gt;=75,"Excellent",IF(H2&gt;=50,"Pass","At Risk"))</f>
        <v>Excellent</v>
      </c>
      <c r="K2" t="str">
        <f>VLOOKUP(C2,Modules!A:B, 2,FALSE)</f>
        <v>Mr Adams</v>
      </c>
    </row>
    <row r="3" spans="1:14" x14ac:dyDescent="0.25">
      <c r="A3" t="s">
        <v>12</v>
      </c>
      <c r="B3" t="s">
        <v>13</v>
      </c>
      <c r="C3" t="s">
        <v>10</v>
      </c>
      <c r="D3" t="s">
        <v>14</v>
      </c>
      <c r="E3">
        <v>85</v>
      </c>
      <c r="F3">
        <v>67</v>
      </c>
      <c r="G3">
        <v>72</v>
      </c>
      <c r="H3">
        <v>70</v>
      </c>
      <c r="I3" t="str">
        <f t="shared" si="0"/>
        <v>Pass</v>
      </c>
      <c r="J3" t="str">
        <f t="shared" si="1"/>
        <v>Pass</v>
      </c>
      <c r="K3" t="str">
        <f>VLOOKUP(C3,Modules!A:B, 2,FALSE)</f>
        <v>Mrs Smith</v>
      </c>
    </row>
    <row r="4" spans="1:14" x14ac:dyDescent="0.25">
      <c r="A4" t="s">
        <v>61</v>
      </c>
      <c r="B4" t="s">
        <v>62</v>
      </c>
      <c r="C4" t="s">
        <v>63</v>
      </c>
      <c r="D4" t="s">
        <v>11</v>
      </c>
      <c r="E4">
        <v>97</v>
      </c>
      <c r="F4">
        <v>92</v>
      </c>
      <c r="G4">
        <v>94</v>
      </c>
      <c r="H4">
        <v>93</v>
      </c>
      <c r="I4" t="str">
        <f t="shared" si="0"/>
        <v>Pass</v>
      </c>
      <c r="J4" t="str">
        <f t="shared" si="1"/>
        <v>Excellent</v>
      </c>
      <c r="K4" t="str">
        <f>VLOOKUP(C4,Modules!A:B, 2,FALSE)</f>
        <v>Ms Dlamini</v>
      </c>
    </row>
    <row r="5" spans="1:14" x14ac:dyDescent="0.25">
      <c r="A5" t="s">
        <v>17</v>
      </c>
      <c r="B5" t="s">
        <v>18</v>
      </c>
      <c r="C5" t="s">
        <v>10</v>
      </c>
      <c r="D5" t="s">
        <v>14</v>
      </c>
      <c r="E5">
        <v>60</v>
      </c>
      <c r="F5">
        <v>45</v>
      </c>
      <c r="G5">
        <v>55</v>
      </c>
      <c r="H5">
        <v>50</v>
      </c>
      <c r="I5" t="str">
        <f t="shared" si="0"/>
        <v>Pass</v>
      </c>
      <c r="J5" t="str">
        <f t="shared" si="1"/>
        <v>Pass</v>
      </c>
      <c r="K5" t="str">
        <f>VLOOKUP(C5,Modules!A:B, 2,FALSE)</f>
        <v>Mrs Smith</v>
      </c>
    </row>
    <row r="6" spans="1:14" x14ac:dyDescent="0.25">
      <c r="A6" t="s">
        <v>19</v>
      </c>
      <c r="B6" t="s">
        <v>20</v>
      </c>
      <c r="C6" t="s">
        <v>10</v>
      </c>
      <c r="D6" t="s">
        <v>14</v>
      </c>
      <c r="E6">
        <v>78</v>
      </c>
      <c r="F6">
        <v>58</v>
      </c>
      <c r="G6">
        <v>60</v>
      </c>
      <c r="H6">
        <v>59</v>
      </c>
      <c r="I6" t="str">
        <f t="shared" si="0"/>
        <v>Pass</v>
      </c>
      <c r="J6" t="str">
        <f t="shared" si="1"/>
        <v>Pass</v>
      </c>
      <c r="K6" t="str">
        <f>VLOOKUP(C6,Modules!A:B, 2,FALSE)</f>
        <v>Mrs Smith</v>
      </c>
    </row>
    <row r="7" spans="1:14" x14ac:dyDescent="0.25">
      <c r="A7" t="s">
        <v>21</v>
      </c>
      <c r="B7" t="s">
        <v>22</v>
      </c>
      <c r="C7" t="s">
        <v>10</v>
      </c>
      <c r="D7" t="s">
        <v>11</v>
      </c>
      <c r="E7">
        <v>88</v>
      </c>
      <c r="F7">
        <v>74</v>
      </c>
      <c r="G7">
        <v>79</v>
      </c>
      <c r="H7">
        <v>77</v>
      </c>
      <c r="I7" t="str">
        <f t="shared" si="0"/>
        <v>Pass</v>
      </c>
      <c r="J7" t="str">
        <f t="shared" si="1"/>
        <v>Excellent</v>
      </c>
      <c r="K7" t="str">
        <f>VLOOKUP(C7,Modules!A:B, 2,FALSE)</f>
        <v>Mrs Smith</v>
      </c>
    </row>
    <row r="8" spans="1:14" x14ac:dyDescent="0.25">
      <c r="A8" t="s">
        <v>23</v>
      </c>
      <c r="B8" t="s">
        <v>24</v>
      </c>
      <c r="C8" t="s">
        <v>10</v>
      </c>
      <c r="D8" t="s">
        <v>14</v>
      </c>
      <c r="E8">
        <v>55</v>
      </c>
      <c r="F8">
        <v>40</v>
      </c>
      <c r="G8">
        <v>48</v>
      </c>
      <c r="H8">
        <v>44</v>
      </c>
      <c r="I8" t="str">
        <f t="shared" si="0"/>
        <v>Fail</v>
      </c>
      <c r="J8" t="str">
        <f t="shared" si="1"/>
        <v>At Risk</v>
      </c>
      <c r="K8" t="str">
        <f>VLOOKUP(C8,Modules!A:B, 2,FALSE)</f>
        <v>Mrs Smith</v>
      </c>
    </row>
    <row r="9" spans="1:14" x14ac:dyDescent="0.25">
      <c r="A9" t="s">
        <v>25</v>
      </c>
      <c r="B9" t="s">
        <v>26</v>
      </c>
      <c r="C9" t="s">
        <v>10</v>
      </c>
      <c r="D9" t="s">
        <v>11</v>
      </c>
      <c r="E9">
        <v>97</v>
      </c>
      <c r="F9">
        <v>91</v>
      </c>
      <c r="G9">
        <v>93</v>
      </c>
      <c r="H9">
        <v>92</v>
      </c>
      <c r="I9" t="str">
        <f t="shared" si="0"/>
        <v>Pass</v>
      </c>
      <c r="J9" t="str">
        <f t="shared" si="1"/>
        <v>Excellent</v>
      </c>
      <c r="K9" t="str">
        <f>VLOOKUP(C9,Modules!A:B, 2,FALSE)</f>
        <v>Mrs Smith</v>
      </c>
    </row>
    <row r="10" spans="1:14" x14ac:dyDescent="0.25">
      <c r="A10" t="s">
        <v>27</v>
      </c>
      <c r="B10" t="s">
        <v>28</v>
      </c>
      <c r="C10" t="s">
        <v>29</v>
      </c>
      <c r="D10" t="s">
        <v>14</v>
      </c>
      <c r="E10">
        <v>82</v>
      </c>
      <c r="F10">
        <v>69</v>
      </c>
      <c r="G10">
        <v>75</v>
      </c>
      <c r="H10">
        <v>72</v>
      </c>
      <c r="I10" t="str">
        <f t="shared" si="0"/>
        <v>Pass</v>
      </c>
      <c r="J10" t="str">
        <f t="shared" si="1"/>
        <v>Pass</v>
      </c>
      <c r="K10" t="str">
        <f>VLOOKUP(C10,Modules!A:B, 2,FALSE)</f>
        <v>Mr Adams</v>
      </c>
    </row>
    <row r="11" spans="1:14" x14ac:dyDescent="0.25">
      <c r="A11" t="s">
        <v>51</v>
      </c>
      <c r="B11" t="s">
        <v>52</v>
      </c>
      <c r="C11" t="s">
        <v>46</v>
      </c>
      <c r="D11" t="s">
        <v>11</v>
      </c>
      <c r="E11">
        <v>96</v>
      </c>
      <c r="F11">
        <v>90</v>
      </c>
      <c r="G11">
        <v>92</v>
      </c>
      <c r="H11">
        <v>91</v>
      </c>
      <c r="I11" t="str">
        <f t="shared" si="0"/>
        <v>Pass</v>
      </c>
      <c r="J11" t="str">
        <f t="shared" si="1"/>
        <v>Excellent</v>
      </c>
      <c r="K11" t="str">
        <f>VLOOKUP(C11,Modules!A:B, 2,FALSE)</f>
        <v>Mr Naidoo</v>
      </c>
      <c r="M11" s="1" t="s">
        <v>76</v>
      </c>
      <c r="N11" s="1">
        <f>COUNTIF(J2:J31,"Excellent")</f>
        <v>15</v>
      </c>
    </row>
    <row r="12" spans="1:14" x14ac:dyDescent="0.25">
      <c r="A12" t="s">
        <v>32</v>
      </c>
      <c r="B12" t="s">
        <v>33</v>
      </c>
      <c r="C12" t="s">
        <v>29</v>
      </c>
      <c r="D12" t="s">
        <v>14</v>
      </c>
      <c r="E12">
        <v>75</v>
      </c>
      <c r="F12">
        <v>62</v>
      </c>
      <c r="G12">
        <v>68</v>
      </c>
      <c r="H12">
        <v>65</v>
      </c>
      <c r="I12" t="str">
        <f t="shared" si="0"/>
        <v>Pass</v>
      </c>
      <c r="J12" t="str">
        <f t="shared" si="1"/>
        <v>Pass</v>
      </c>
      <c r="K12" t="str">
        <f>VLOOKUP(C12,Modules!A:B, 2,FALSE)</f>
        <v>Mr Adams</v>
      </c>
      <c r="M12" s="2" t="s">
        <v>77</v>
      </c>
      <c r="N12" s="2">
        <f>COUNTIF(J2:J31,"Pass")</f>
        <v>12</v>
      </c>
    </row>
    <row r="13" spans="1:14" x14ac:dyDescent="0.25">
      <c r="A13" t="s">
        <v>34</v>
      </c>
      <c r="B13" t="s">
        <v>35</v>
      </c>
      <c r="C13" t="s">
        <v>29</v>
      </c>
      <c r="D13" t="s">
        <v>11</v>
      </c>
      <c r="E13">
        <v>89</v>
      </c>
      <c r="F13">
        <v>80</v>
      </c>
      <c r="G13">
        <v>82</v>
      </c>
      <c r="H13">
        <v>81</v>
      </c>
      <c r="I13" t="str">
        <f t="shared" si="0"/>
        <v>Pass</v>
      </c>
      <c r="J13" t="str">
        <f t="shared" si="1"/>
        <v>Excellent</v>
      </c>
      <c r="K13" t="str">
        <f>VLOOKUP(C13,Modules!A:B, 2,FALSE)</f>
        <v>Mr Adams</v>
      </c>
      <c r="M13" s="1" t="s">
        <v>78</v>
      </c>
      <c r="N13" s="1">
        <f>COUNTIF(J2:J31,"At Risk")</f>
        <v>3</v>
      </c>
    </row>
    <row r="14" spans="1:14" x14ac:dyDescent="0.25">
      <c r="A14" t="s">
        <v>36</v>
      </c>
      <c r="B14" t="s">
        <v>37</v>
      </c>
      <c r="C14" t="s">
        <v>29</v>
      </c>
      <c r="D14" t="s">
        <v>14</v>
      </c>
      <c r="E14">
        <v>58</v>
      </c>
      <c r="F14">
        <v>47</v>
      </c>
      <c r="G14">
        <v>50</v>
      </c>
      <c r="H14">
        <v>49</v>
      </c>
      <c r="I14" t="str">
        <f t="shared" si="0"/>
        <v>Fail</v>
      </c>
      <c r="J14" t="str">
        <f t="shared" si="1"/>
        <v>At Risk</v>
      </c>
      <c r="K14" t="str">
        <f>VLOOKUP(C14,Modules!A:B, 2,FALSE)</f>
        <v>Mr Adams</v>
      </c>
    </row>
    <row r="15" spans="1:14" x14ac:dyDescent="0.25">
      <c r="A15" t="s">
        <v>38</v>
      </c>
      <c r="B15" t="s">
        <v>39</v>
      </c>
      <c r="C15" t="s">
        <v>29</v>
      </c>
      <c r="D15" t="s">
        <v>11</v>
      </c>
      <c r="E15">
        <v>94</v>
      </c>
      <c r="F15">
        <v>89</v>
      </c>
      <c r="G15">
        <v>91</v>
      </c>
      <c r="H15">
        <v>90</v>
      </c>
      <c r="I15" t="str">
        <f t="shared" si="0"/>
        <v>Pass</v>
      </c>
      <c r="J15" t="str">
        <f t="shared" si="1"/>
        <v>Excellent</v>
      </c>
      <c r="K15" t="str">
        <f>VLOOKUP(C15,Modules!A:B, 2,FALSE)</f>
        <v>Mr Adams</v>
      </c>
    </row>
    <row r="16" spans="1:14" x14ac:dyDescent="0.25">
      <c r="A16" t="s">
        <v>40</v>
      </c>
      <c r="B16" t="s">
        <v>41</v>
      </c>
      <c r="C16" t="s">
        <v>29</v>
      </c>
      <c r="D16" t="s">
        <v>14</v>
      </c>
      <c r="E16">
        <v>67</v>
      </c>
      <c r="F16">
        <v>55</v>
      </c>
      <c r="G16">
        <v>60</v>
      </c>
      <c r="H16">
        <v>58</v>
      </c>
      <c r="I16" t="str">
        <f t="shared" si="0"/>
        <v>Pass</v>
      </c>
      <c r="J16" t="str">
        <f t="shared" si="1"/>
        <v>Pass</v>
      </c>
      <c r="K16" t="str">
        <f>VLOOKUP(C16,Modules!A:B, 2,FALSE)</f>
        <v>Mr Adams</v>
      </c>
    </row>
    <row r="17" spans="1:11" x14ac:dyDescent="0.25">
      <c r="A17" t="s">
        <v>15</v>
      </c>
      <c r="B17" t="s">
        <v>16</v>
      </c>
      <c r="C17" t="s">
        <v>10</v>
      </c>
      <c r="D17" t="s">
        <v>11</v>
      </c>
      <c r="E17">
        <v>95</v>
      </c>
      <c r="F17">
        <v>88</v>
      </c>
      <c r="G17">
        <v>90</v>
      </c>
      <c r="H17">
        <v>89</v>
      </c>
      <c r="I17" t="str">
        <f t="shared" si="0"/>
        <v>Pass</v>
      </c>
      <c r="J17" t="str">
        <f t="shared" si="1"/>
        <v>Excellent</v>
      </c>
      <c r="K17" t="str">
        <f>VLOOKUP(C17,Modules!A:B, 2,FALSE)</f>
        <v>Mrs Smith</v>
      </c>
    </row>
    <row r="18" spans="1:11" x14ac:dyDescent="0.25">
      <c r="A18" t="s">
        <v>44</v>
      </c>
      <c r="B18" t="s">
        <v>45</v>
      </c>
      <c r="C18" t="s">
        <v>46</v>
      </c>
      <c r="D18" t="s">
        <v>14</v>
      </c>
      <c r="E18">
        <v>87</v>
      </c>
      <c r="F18">
        <v>76</v>
      </c>
      <c r="G18">
        <v>80</v>
      </c>
      <c r="H18">
        <v>78</v>
      </c>
      <c r="I18" t="str">
        <f t="shared" si="0"/>
        <v>Pass</v>
      </c>
      <c r="J18" t="str">
        <f t="shared" si="1"/>
        <v>Excellent</v>
      </c>
      <c r="K18" t="str">
        <f>VLOOKUP(C18,Modules!A:B, 2,FALSE)</f>
        <v>Mr Naidoo</v>
      </c>
    </row>
    <row r="19" spans="1:11" x14ac:dyDescent="0.25">
      <c r="A19" t="s">
        <v>59</v>
      </c>
      <c r="B19" t="s">
        <v>60</v>
      </c>
      <c r="C19" t="s">
        <v>46</v>
      </c>
      <c r="D19" t="s">
        <v>14</v>
      </c>
      <c r="E19">
        <v>93</v>
      </c>
      <c r="F19">
        <v>87</v>
      </c>
      <c r="G19">
        <v>89</v>
      </c>
      <c r="H19">
        <v>88</v>
      </c>
      <c r="I19" t="str">
        <f t="shared" si="0"/>
        <v>Pass</v>
      </c>
      <c r="J19" t="str">
        <f t="shared" si="1"/>
        <v>Excellent</v>
      </c>
      <c r="K19" t="str">
        <f>VLOOKUP(C19,Modules!A:B, 2,FALSE)</f>
        <v>Mr Naidoo</v>
      </c>
    </row>
    <row r="20" spans="1:11" x14ac:dyDescent="0.25">
      <c r="A20" t="s">
        <v>49</v>
      </c>
      <c r="B20" t="s">
        <v>50</v>
      </c>
      <c r="C20" t="s">
        <v>46</v>
      </c>
      <c r="D20" t="s">
        <v>14</v>
      </c>
      <c r="E20">
        <v>73</v>
      </c>
      <c r="F20">
        <v>61</v>
      </c>
      <c r="G20">
        <v>65</v>
      </c>
      <c r="H20">
        <v>63</v>
      </c>
      <c r="I20" t="str">
        <f t="shared" si="0"/>
        <v>Pass</v>
      </c>
      <c r="J20" t="str">
        <f t="shared" si="1"/>
        <v>Pass</v>
      </c>
      <c r="K20" t="str">
        <f>VLOOKUP(C20,Modules!A:B, 2,FALSE)</f>
        <v>Mr Naidoo</v>
      </c>
    </row>
    <row r="21" spans="1:11" x14ac:dyDescent="0.25">
      <c r="A21" t="s">
        <v>30</v>
      </c>
      <c r="B21" t="s">
        <v>31</v>
      </c>
      <c r="C21" t="s">
        <v>29</v>
      </c>
      <c r="D21" t="s">
        <v>11</v>
      </c>
      <c r="E21">
        <v>91</v>
      </c>
      <c r="F21">
        <v>84</v>
      </c>
      <c r="G21">
        <v>86</v>
      </c>
      <c r="H21">
        <v>85</v>
      </c>
      <c r="I21" t="str">
        <f t="shared" si="0"/>
        <v>Pass</v>
      </c>
      <c r="J21" t="str">
        <f t="shared" si="1"/>
        <v>Excellent</v>
      </c>
      <c r="K21" t="str">
        <f>VLOOKUP(C21,Modules!A:B, 2,FALSE)</f>
        <v>Mr Adams</v>
      </c>
    </row>
    <row r="22" spans="1:11" x14ac:dyDescent="0.25">
      <c r="A22" t="s">
        <v>53</v>
      </c>
      <c r="B22" t="s">
        <v>54</v>
      </c>
      <c r="C22" t="s">
        <v>46</v>
      </c>
      <c r="D22" t="s">
        <v>14</v>
      </c>
      <c r="E22">
        <v>65</v>
      </c>
      <c r="F22">
        <v>52</v>
      </c>
      <c r="G22">
        <v>57</v>
      </c>
      <c r="H22">
        <v>55</v>
      </c>
      <c r="I22" t="str">
        <f t="shared" si="0"/>
        <v>Pass</v>
      </c>
      <c r="J22" t="str">
        <f t="shared" si="1"/>
        <v>Pass</v>
      </c>
      <c r="K22" t="str">
        <f>VLOOKUP(C22,Modules!A:B, 2,FALSE)</f>
        <v>Mr Naidoo</v>
      </c>
    </row>
    <row r="23" spans="1:11" x14ac:dyDescent="0.25">
      <c r="A23" t="s">
        <v>55</v>
      </c>
      <c r="B23" t="s">
        <v>56</v>
      </c>
      <c r="C23" t="s">
        <v>46</v>
      </c>
      <c r="D23" t="s">
        <v>11</v>
      </c>
      <c r="E23">
        <v>88</v>
      </c>
      <c r="F23">
        <v>79</v>
      </c>
      <c r="G23">
        <v>81</v>
      </c>
      <c r="H23">
        <v>80</v>
      </c>
      <c r="I23" t="str">
        <f t="shared" si="0"/>
        <v>Pass</v>
      </c>
      <c r="J23" t="str">
        <f t="shared" si="1"/>
        <v>Excellent</v>
      </c>
      <c r="K23" t="str">
        <f>VLOOKUP(C23,Modules!A:B, 2,FALSE)</f>
        <v>Mr Naidoo</v>
      </c>
    </row>
    <row r="24" spans="1:11" x14ac:dyDescent="0.25">
      <c r="A24" t="s">
        <v>57</v>
      </c>
      <c r="B24" t="s">
        <v>58</v>
      </c>
      <c r="C24" t="s">
        <v>46</v>
      </c>
      <c r="D24" t="s">
        <v>14</v>
      </c>
      <c r="E24">
        <v>59</v>
      </c>
      <c r="F24">
        <v>44</v>
      </c>
      <c r="G24">
        <v>49</v>
      </c>
      <c r="H24">
        <v>47</v>
      </c>
      <c r="I24" t="str">
        <f t="shared" si="0"/>
        <v>Fail</v>
      </c>
      <c r="J24" t="str">
        <f t="shared" si="1"/>
        <v>At Risk</v>
      </c>
      <c r="K24" t="str">
        <f>VLOOKUP(C24,Modules!A:B, 2,FALSE)</f>
        <v>Mr Naidoo</v>
      </c>
    </row>
    <row r="25" spans="1:11" x14ac:dyDescent="0.25">
      <c r="A25" t="s">
        <v>47</v>
      </c>
      <c r="B25" t="s">
        <v>48</v>
      </c>
      <c r="C25" t="s">
        <v>46</v>
      </c>
      <c r="D25" t="s">
        <v>11</v>
      </c>
      <c r="E25">
        <v>90</v>
      </c>
      <c r="F25">
        <v>82</v>
      </c>
      <c r="G25">
        <v>84</v>
      </c>
      <c r="H25">
        <v>83</v>
      </c>
      <c r="I25" t="str">
        <f t="shared" si="0"/>
        <v>Pass</v>
      </c>
      <c r="J25" t="str">
        <f t="shared" si="1"/>
        <v>Excellent</v>
      </c>
      <c r="K25" t="str">
        <f>VLOOKUP(C25,Modules!A:B, 2,FALSE)</f>
        <v>Mr Naidoo</v>
      </c>
    </row>
    <row r="26" spans="1:11" x14ac:dyDescent="0.25">
      <c r="A26" t="s">
        <v>8</v>
      </c>
      <c r="B26" t="s">
        <v>9</v>
      </c>
      <c r="C26" t="s">
        <v>10</v>
      </c>
      <c r="D26" t="s">
        <v>11</v>
      </c>
      <c r="E26">
        <v>92</v>
      </c>
      <c r="F26">
        <v>78</v>
      </c>
      <c r="G26">
        <v>85</v>
      </c>
      <c r="H26">
        <v>81</v>
      </c>
      <c r="I26" t="str">
        <f t="shared" si="0"/>
        <v>Pass</v>
      </c>
      <c r="J26" t="str">
        <f t="shared" si="1"/>
        <v>Excellent</v>
      </c>
      <c r="K26" t="str">
        <f>VLOOKUP(C26,Modules!A:B, 2,FALSE)</f>
        <v>Mrs Smith</v>
      </c>
    </row>
    <row r="27" spans="1:11" x14ac:dyDescent="0.25">
      <c r="A27" t="s">
        <v>64</v>
      </c>
      <c r="B27" t="s">
        <v>65</v>
      </c>
      <c r="C27" t="s">
        <v>63</v>
      </c>
      <c r="D27" t="s">
        <v>11</v>
      </c>
      <c r="E27">
        <v>84</v>
      </c>
      <c r="F27">
        <v>71</v>
      </c>
      <c r="G27">
        <v>76</v>
      </c>
      <c r="H27">
        <v>74</v>
      </c>
      <c r="I27" t="str">
        <f t="shared" si="0"/>
        <v>Pass</v>
      </c>
      <c r="J27" t="str">
        <f t="shared" si="1"/>
        <v>Pass</v>
      </c>
      <c r="K27" t="str">
        <f>VLOOKUP(C27,Modules!A:B, 2,FALSE)</f>
        <v>Ms Dlamini</v>
      </c>
    </row>
    <row r="28" spans="1:11" x14ac:dyDescent="0.25">
      <c r="A28" t="s">
        <v>66</v>
      </c>
      <c r="B28" t="s">
        <v>67</v>
      </c>
      <c r="C28" t="s">
        <v>63</v>
      </c>
      <c r="D28" t="s">
        <v>14</v>
      </c>
      <c r="E28">
        <v>77</v>
      </c>
      <c r="F28">
        <v>65</v>
      </c>
      <c r="G28">
        <v>70</v>
      </c>
      <c r="H28">
        <v>68</v>
      </c>
      <c r="I28" t="str">
        <f t="shared" si="0"/>
        <v>Pass</v>
      </c>
      <c r="J28" t="str">
        <f t="shared" si="1"/>
        <v>Pass</v>
      </c>
      <c r="K28" t="str">
        <f>VLOOKUP(C28,Modules!A:B, 2,FALSE)</f>
        <v>Ms Dlamini</v>
      </c>
    </row>
    <row r="29" spans="1:11" x14ac:dyDescent="0.25">
      <c r="A29" t="s">
        <v>68</v>
      </c>
      <c r="B29" t="s">
        <v>69</v>
      </c>
      <c r="C29" t="s">
        <v>63</v>
      </c>
      <c r="D29" t="s">
        <v>14</v>
      </c>
      <c r="E29">
        <v>62</v>
      </c>
      <c r="F29">
        <v>48</v>
      </c>
      <c r="G29">
        <v>53</v>
      </c>
      <c r="H29">
        <v>51</v>
      </c>
      <c r="I29" t="str">
        <f t="shared" si="0"/>
        <v>Pass</v>
      </c>
      <c r="J29" t="str">
        <f t="shared" si="1"/>
        <v>Pass</v>
      </c>
      <c r="K29" t="str">
        <f>VLOOKUP(C29,Modules!A:B, 2,FALSE)</f>
        <v>Ms Dlamini</v>
      </c>
    </row>
    <row r="30" spans="1:11" x14ac:dyDescent="0.25">
      <c r="A30" t="s">
        <v>70</v>
      </c>
      <c r="B30" t="s">
        <v>71</v>
      </c>
      <c r="C30" t="s">
        <v>63</v>
      </c>
      <c r="D30" t="s">
        <v>14</v>
      </c>
      <c r="E30">
        <v>89</v>
      </c>
      <c r="F30">
        <v>81</v>
      </c>
      <c r="G30">
        <v>85</v>
      </c>
      <c r="H30">
        <v>83</v>
      </c>
      <c r="I30" t="str">
        <f t="shared" si="0"/>
        <v>Pass</v>
      </c>
      <c r="J30" t="str">
        <f t="shared" si="1"/>
        <v>Excellent</v>
      </c>
      <c r="K30" t="str">
        <f>VLOOKUP(C30,Modules!A:B, 2,FALSE)</f>
        <v>Ms Dlamini</v>
      </c>
    </row>
    <row r="31" spans="1:11" x14ac:dyDescent="0.25">
      <c r="A31" t="s">
        <v>72</v>
      </c>
      <c r="B31" t="s">
        <v>73</v>
      </c>
      <c r="C31" t="s">
        <v>63</v>
      </c>
      <c r="D31" t="s">
        <v>11</v>
      </c>
      <c r="E31">
        <v>95</v>
      </c>
      <c r="F31">
        <v>88</v>
      </c>
      <c r="G31">
        <v>9</v>
      </c>
      <c r="H31">
        <v>68</v>
      </c>
      <c r="I31" t="str">
        <f t="shared" si="0"/>
        <v>Pass</v>
      </c>
      <c r="J31" t="str">
        <f t="shared" si="1"/>
        <v>Pass</v>
      </c>
      <c r="K31" t="str">
        <f>VLOOKUP(C31,Modules!A:B, 2,FALSE)</f>
        <v>Ms Dlamini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0" sqref="B10"/>
    </sheetView>
  </sheetViews>
  <sheetFormatPr defaultRowHeight="15" x14ac:dyDescent="0.25"/>
  <cols>
    <col min="1" max="1" width="23.28515625" customWidth="1"/>
    <col min="2" max="2" width="24.5703125" customWidth="1"/>
  </cols>
  <sheetData>
    <row r="1" spans="1:2" ht="15.75" x14ac:dyDescent="0.25">
      <c r="A1" s="3" t="s">
        <v>2</v>
      </c>
      <c r="B1" s="3" t="s">
        <v>79</v>
      </c>
    </row>
    <row r="2" spans="1:2" x14ac:dyDescent="0.25">
      <c r="A2" t="s">
        <v>46</v>
      </c>
      <c r="B2" t="s">
        <v>80</v>
      </c>
    </row>
    <row r="3" spans="1:2" x14ac:dyDescent="0.25">
      <c r="A3" t="s">
        <v>10</v>
      </c>
      <c r="B3" t="s">
        <v>81</v>
      </c>
    </row>
    <row r="4" spans="1:2" x14ac:dyDescent="0.25">
      <c r="A4" t="s">
        <v>29</v>
      </c>
      <c r="B4" t="s">
        <v>82</v>
      </c>
    </row>
    <row r="5" spans="1:2" x14ac:dyDescent="0.25">
      <c r="A5" t="s">
        <v>63</v>
      </c>
      <c r="B5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Student_marks</vt:lpstr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Rebaona Radebe</dc:creator>
  <cp:lastModifiedBy>Reba</cp:lastModifiedBy>
  <dcterms:created xsi:type="dcterms:W3CDTF">2026-06-24T13:06:05Z</dcterms:created>
  <dcterms:modified xsi:type="dcterms:W3CDTF">2026-06-24T16:07:35Z</dcterms:modified>
</cp:coreProperties>
</file>